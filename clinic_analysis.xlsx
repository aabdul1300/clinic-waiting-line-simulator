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 and Result" sheetId="1" state="visible" r:id="rId3"/>
    <sheet name="Theory" sheetId="2" state="visible" r:id="rId4"/>
    <sheet name="Simulation" sheetId="3" state="visible" r:id="rId5"/>
    <sheet name="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<sst xmlns="http://schemas.openxmlformats.org/spreadsheetml/2006/main" count="56" uniqueCount="51">
  <si>
    <t xml:space="preserve">Clinic Waiting-Line Analysis</t>
  </si>
  <si>
    <t xml:space="preserve">Yellow cells are the inputs. Change them, re-run clinic_sim.cpp with the same values, and paste its results into the Simulation sheet.</t>
  </si>
  <si>
    <t xml:space="preserve">Inputs</t>
  </si>
  <si>
    <t xml:space="preserve">Patient arrivals per hour (λ)</t>
  </si>
  <si>
    <t xml:space="preserve">Example value. Replace with counts from your clinic or a class case.</t>
  </si>
  <si>
    <t xml:space="preserve">Average minutes with staff per patient</t>
  </si>
  <si>
    <t xml:space="preserve">Example value. Replace with observed service times.</t>
  </si>
  <si>
    <t xml:space="preserve">Target average wait (minutes)</t>
  </si>
  <si>
    <t xml:space="preserve">Example target. A clinic would set this from its own policy.</t>
  </si>
  <si>
    <t xml:space="preserve">Service rate per staff (patients/hour, μ)</t>
  </si>
  <si>
    <t xml:space="preserve">Offered load (staff-equivalents of work, a = λ/μ)</t>
  </si>
  <si>
    <t xml:space="preserve">The clinic needs more staff than this just to keep up.</t>
  </si>
  <si>
    <t xml:space="preserve">Result</t>
  </si>
  <si>
    <t xml:space="preserve">Recommended staff (fewest that meet the target, by simulation)</t>
  </si>
  <si>
    <t xml:space="preserve">Average wait at that staffing (minutes, simulation)</t>
  </si>
  <si>
    <t xml:space="preserve">Staff utilization at that staffing</t>
  </si>
  <si>
    <t xml:space="preserve">Patients waiting more than 15 minutes at that staffing</t>
  </si>
  <si>
    <t xml:space="preserve">Model check</t>
  </si>
  <si>
    <t xml:space="preserve">Simulation agrees with Erlang C theory within its 95% interval for every staffing level?</t>
  </si>
  <si>
    <t xml:space="preserve">Erlang C theory (M/M/c queue)</t>
  </si>
  <si>
    <t xml:space="preserve">Assumes Poisson arrivals, exponential service times, one shared line, first come first served. All inputs come from the Inputs and Result sheet.</t>
  </si>
  <si>
    <t xml:space="preserve">Helper table: aᵏ / k!</t>
  </si>
  <si>
    <t xml:space="preserve">k</t>
  </si>
  <si>
    <t xml:space="preserve">a^k / k!</t>
  </si>
  <si>
    <t xml:space="preserve">Theoretical results by staff count</t>
  </si>
  <si>
    <t xml:space="preserve">Staff (c)</t>
  </si>
  <si>
    <t xml:space="preserve">Utilization (ρ = a/c)</t>
  </si>
  <si>
    <t xml:space="preserve">Top term</t>
  </si>
  <si>
    <t xml:space="preserve">Sum of first c terms</t>
  </si>
  <si>
    <t xml:space="preserve">Chance of waiting (Erlang C)</t>
  </si>
  <si>
    <t xml:space="preserve">Average wait (min)</t>
  </si>
  <si>
    <t xml:space="preserve">Average number waiting</t>
  </si>
  <si>
    <t xml:space="preserve">Chance of waiting over 15 min</t>
  </si>
  <si>
    <t xml:space="preserve">Formulas: Wq = P(wait) / (cμ − λ). Lq = λ × Wq. P(wait &gt; t) = P(wait) × e^(−(cμ − λ) t). Staff counts in column A must stay above the offered load.</t>
  </si>
  <si>
    <t xml:space="preserve">Simulation output from clinic_sim.cpp</t>
  </si>
  <si>
    <t xml:space="preserve">Source: ./clinic_sim 10 12 3 8 results.csv. 30 replications of 2,000 clinic hours per staff count, 100 warm-up hours discarded, fixed random seeds. Values pasted as numbers from the program's CSV.</t>
  </si>
  <si>
    <t xml:space="preserve">Staff</t>
  </si>
  <si>
    <t xml:space="preserve">95% interval (± min)</t>
  </si>
  <si>
    <t xml:space="preserve">Staff utilization</t>
  </si>
  <si>
    <t xml:space="preserve">Chance of waiting</t>
  </si>
  <si>
    <t xml:space="preserve">Simulation versus theory</t>
  </si>
  <si>
    <t xml:space="preserve">A good simulation lands inside its own 95% interval around the theory. Little's Law (Lq = λ × Wq) is checked using only simulation output.</t>
  </si>
  <si>
    <t xml:space="preserve">Simulated wait (min)</t>
  </si>
  <si>
    <t xml:space="preserve">Theory wait (min)</t>
  </si>
  <si>
    <t xml:space="preserve">Difference (min)</t>
  </si>
  <si>
    <t xml:space="preserve">Inside interval (1 = yes)</t>
  </si>
  <si>
    <t xml:space="preserve">Inside interval?</t>
  </si>
  <si>
    <t xml:space="preserve">Simulated utilization</t>
  </si>
  <si>
    <t xml:space="preserve">Theory utilization</t>
  </si>
  <si>
    <t xml:space="preserve">Little's Law gap (λ × Wq − Lq)</t>
  </si>
  <si>
    <t xml:space="preserve">Meets target (1 = yes)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</si>
</sst>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"/>
    <numFmt numFmtId="167" formatCode="0.0%"/>
    <numFmt numFmtId="168" formatCode="0.00%"/>
    <numFmt numFmtId="169" formatCode="0.0000"/>
    <numFmt numFmtId="170" formatCode="0.000"/>
    <numFmt numFmtId="171" formatCode="0.000%"/>
    <numFmt numFmtId="172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E2EFDA"/>
        <bgColor rgb="FFD9D9D9"/>
      </patternFill>
    </fill>
    <fill>
      <patternFill patternType="solid">
        <fgColor rgb="FF16222B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F18"/>
      <rgbColor rgb="FF993366"/>
      <rgbColor rgb="FF333399"/>
      <rgbColor rgb="FF1622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wait by number of staff (log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Comparison!B4</c:f>
              <c:strCache>
                <c:ptCount val="1"/>
                <c:pt idx="0">
                  <c:v>Simulated wait (min)</c:v>
                </c:pt>
              </c:strCache>
            </c:strRef>
          </c:tx>
          <c:spPr>
            <a:solidFill>
              <a:srgbClr val="c03f18"/>
            </a:solidFill>
            <a:ln w="28440">
              <a:solidFill>
                <a:srgbClr val="c03f18"/>
              </a:solidFill>
              <a:round/>
            </a:ln>
          </c:spPr>
          <c:marker>
            <c:symbol val="circle"/>
            <c:size val="5"/>
            <c:spPr>
              <a:solidFill>
                <a:srgbClr val="c03f1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Comparison!$A$5:$A$10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Comparison!$B$5:$B$10</c:f>
              <c:numCache>
                <c:formatCode>0.000</c:formatCode>
                <c:ptCount val="6"/>
                <c:pt idx="0">
                  <c:v>5.27532</c:v>
                </c:pt>
                <c:pt idx="1">
                  <c:v>1.04486</c:v>
                </c:pt>
                <c:pt idx="2">
                  <c:v>0.23938</c:v>
                </c:pt>
                <c:pt idx="3">
                  <c:v>0.0557653</c:v>
                </c:pt>
                <c:pt idx="4">
                  <c:v>0.0124728</c:v>
                </c:pt>
                <c:pt idx="5">
                  <c:v>0.00269897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Comparison!C4</c:f>
              <c:strCache>
                <c:ptCount val="1"/>
                <c:pt idx="0">
                  <c:v>Theory wait (min)</c:v>
                </c:pt>
              </c:strCache>
            </c:strRef>
          </c:tx>
          <c:spPr>
            <a:solidFill>
              <a:srgbClr val="16222b"/>
            </a:solidFill>
            <a:ln w="28440">
              <a:solidFill>
                <a:srgbClr val="16222b"/>
              </a:solidFill>
              <a:prstDash val="dash"/>
              <a:round/>
            </a:ln>
          </c:spPr>
          <c:marker>
            <c:symbol val="diamond"/>
            <c:size val="5"/>
            <c:spPr>
              <a:solidFill>
                <a:srgbClr val="1622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Comparison!$A$5:$A$10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Comparison!$C$5:$C$10</c:f>
              <c:numCache>
                <c:formatCode>0.000</c:formatCode>
                <c:ptCount val="6"/>
                <c:pt idx="0">
                  <c:v>5.33333333333333</c:v>
                </c:pt>
                <c:pt idx="1">
                  <c:v>1.04347826086957</c:v>
                </c:pt>
                <c:pt idx="2">
                  <c:v>0.238805970149254</c:v>
                </c:pt>
                <c:pt idx="3">
                  <c:v>0.0540540540540541</c:v>
                </c:pt>
                <c:pt idx="4">
                  <c:v>0.0115453998797354</c:v>
                </c:pt>
                <c:pt idx="5">
                  <c:v>0.00229127881999141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3283292"/>
        <c:axId val="1993303"/>
      </c:lineChart>
      <c:catAx>
        <c:axId val="332832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Staff on duty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3303"/>
        <c:crosses val="autoZero"/>
        <c:auto val="1"/>
        <c:lblAlgn val="ctr"/>
        <c:lblOffset val="100"/>
        <c:noMultiLvlLbl val="0"/>
      </c:catAx>
      <c:valAx>
        <c:axId val="199330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wait (minutes)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83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160560</xdr:rowOff>
    </xdr:from>
    <xdr:to>
      <xdr:col>2</xdr:col>
      <xdr:colOff>1560960</xdr:colOff>
      <xdr:row>37</xdr:row>
      <xdr:rowOff>161640</xdr:rowOff>
    </xdr:to>
    <xdr:graphicFrame>
      <xdr:nvGraphicFramePr>
        <xdr:cNvPr id="0" name="Chart 1"/>
        <xdr:cNvGraphicFramePr/>
      </xdr:nvGraphicFramePr>
      <xdr:xfrm>
        <a:off x="0" y="41623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10</v>
      </c>
      <c r="C5" s="2" t="s">
        <v>4</v>
      </c>
    </row>
    <row r="6" customFormat="false" ht="15" hidden="false" customHeight="false" outlineLevel="0" collapsed="false">
      <c r="A6" s="4" t="s">
        <v>5</v>
      </c>
      <c r="B6" s="5" t="n">
        <v>12</v>
      </c>
      <c r="C6" s="2" t="s">
        <v>6</v>
      </c>
    </row>
    <row r="7" customFormat="false" ht="15" hidden="false" customHeight="false" outlineLevel="0" collapsed="false">
      <c r="A7" s="4" t="s">
        <v>7</v>
      </c>
      <c r="B7" s="5" t="n">
        <v>2</v>
      </c>
      <c r="C7" s="2" t="s">
        <v>8</v>
      </c>
    </row>
    <row r="9" customFormat="false" ht="15" hidden="false" customHeight="false" outlineLevel="0" collapsed="false">
      <c r="A9" s="4" t="s">
        <v>9</v>
      </c>
      <c r="B9" s="6" t="n">
        <f aca="false">60/B6</f>
        <v>5</v>
      </c>
    </row>
    <row r="10" customFormat="false" ht="15" hidden="false" customHeight="false" outlineLevel="0" collapsed="false">
      <c r="A10" s="4" t="s">
        <v>10</v>
      </c>
      <c r="B10" s="6" t="n">
        <f aca="false">B5/B9</f>
        <v>2</v>
      </c>
      <c r="C10" s="2" t="s">
        <v>11</v>
      </c>
    </row>
    <row r="12" customFormat="false" ht="15" hidden="false" customHeight="false" outlineLevel="0" collapsed="false">
      <c r="A12" s="3" t="s">
        <v>12</v>
      </c>
    </row>
    <row r="13" customFormat="false" ht="15" hidden="false" customHeight="false" outlineLevel="0" collapsed="false">
      <c r="A13" s="4" t="s">
        <v>13</v>
      </c>
      <c r="B13" s="7" t="n">
        <f aca="false">IFERROR(INDEX(Comparison!A5:A10,MATCH(1,Comparison!K5:K10,0)),"None in range")</f>
        <v>4</v>
      </c>
    </row>
    <row r="14" customFormat="false" ht="15" hidden="false" customHeight="false" outlineLevel="0" collapsed="false">
      <c r="A14" s="4" t="s">
        <v>14</v>
      </c>
      <c r="B14" s="8" t="n">
        <f aca="false">IFERROR(INDEX(Comparison!B5:B10,MATCH(B13,Comparison!A5:A10,0)),"")</f>
        <v>1.04486</v>
      </c>
    </row>
    <row r="15" customFormat="false" ht="15" hidden="false" customHeight="false" outlineLevel="0" collapsed="false">
      <c r="A15" s="4" t="s">
        <v>15</v>
      </c>
      <c r="B15" s="9" t="n">
        <f aca="false">IFERROR(INDEX(Comparison!H5:H10,MATCH(B13,Comparison!A5:A10,0)),"")</f>
        <v>0.499163</v>
      </c>
    </row>
    <row r="16" customFormat="false" ht="15" hidden="false" customHeight="false" outlineLevel="0" collapsed="false">
      <c r="A16" s="4" t="s">
        <v>16</v>
      </c>
      <c r="B16" s="10" t="n">
        <f aca="false">IFERROR(INDEX(Simulation!G5:G10,MATCH(B13,Simulation!A5:A10,0)),"")</f>
        <v>0.0144799</v>
      </c>
    </row>
    <row r="18" customFormat="false" ht="15" hidden="false" customHeight="false" outlineLevel="0" collapsed="false">
      <c r="A18" s="3" t="s">
        <v>17</v>
      </c>
    </row>
    <row r="19" customFormat="false" ht="27.75" hidden="false" customHeight="true" outlineLevel="0" collapsed="false">
      <c r="A19" s="11" t="s">
        <v>18</v>
      </c>
      <c r="B19" s="12" t="str">
        <f aca="false">IF(COUNTIF(Comparison!G5:G10,"Yes")=6,"Yes","No, see Comparison")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3" t="s">
        <v>21</v>
      </c>
    </row>
    <row r="5" customFormat="false" ht="15" hidden="false" customHeight="false" outlineLevel="0" collapsed="false">
      <c r="A5" s="13" t="s">
        <v>22</v>
      </c>
      <c r="B5" s="13" t="s">
        <v>23</v>
      </c>
    </row>
    <row r="6" customFormat="false" ht="15" hidden="false" customHeight="false" outlineLevel="0" collapsed="false">
      <c r="A6" s="4" t="n">
        <v>0</v>
      </c>
      <c r="B6" s="14" t="n">
        <f aca="false">'Inputs and Result'!$B$10^A6/FACT(A6)</f>
        <v>1</v>
      </c>
    </row>
    <row r="7" customFormat="false" ht="15" hidden="false" customHeight="false" outlineLevel="0" collapsed="false">
      <c r="A7" s="4" t="n">
        <v>1</v>
      </c>
      <c r="B7" s="14" t="n">
        <f aca="false">'Inputs and Result'!$B$10^A7/FACT(A7)</f>
        <v>2</v>
      </c>
    </row>
    <row r="8" customFormat="false" ht="15" hidden="false" customHeight="false" outlineLevel="0" collapsed="false">
      <c r="A8" s="4" t="n">
        <v>2</v>
      </c>
      <c r="B8" s="14" t="n">
        <f aca="false">'Inputs and Result'!$B$10^A8/FACT(A8)</f>
        <v>2</v>
      </c>
    </row>
    <row r="9" customFormat="false" ht="15" hidden="false" customHeight="false" outlineLevel="0" collapsed="false">
      <c r="A9" s="4" t="n">
        <v>3</v>
      </c>
      <c r="B9" s="14" t="n">
        <f aca="false">'Inputs and Result'!$B$10^A9/FACT(A9)</f>
        <v>1.33333333333333</v>
      </c>
    </row>
    <row r="10" customFormat="false" ht="15" hidden="false" customHeight="false" outlineLevel="0" collapsed="false">
      <c r="A10" s="4" t="n">
        <v>4</v>
      </c>
      <c r="B10" s="14" t="n">
        <f aca="false">'Inputs and Result'!$B$10^A10/FACT(A10)</f>
        <v>0.666666666666667</v>
      </c>
    </row>
    <row r="11" customFormat="false" ht="15" hidden="false" customHeight="false" outlineLevel="0" collapsed="false">
      <c r="A11" s="4" t="n">
        <v>5</v>
      </c>
      <c r="B11" s="14" t="n">
        <f aca="false">'Inputs and Result'!$B$10^A11/FACT(A11)</f>
        <v>0.266666666666667</v>
      </c>
    </row>
    <row r="12" customFormat="false" ht="15" hidden="false" customHeight="false" outlineLevel="0" collapsed="false">
      <c r="A12" s="4" t="n">
        <v>6</v>
      </c>
      <c r="B12" s="14" t="n">
        <f aca="false">'Inputs and Result'!$B$10^A12/FACT(A12)</f>
        <v>0.0888888888888889</v>
      </c>
    </row>
    <row r="13" customFormat="false" ht="15" hidden="false" customHeight="false" outlineLevel="0" collapsed="false">
      <c r="A13" s="4" t="n">
        <v>7</v>
      </c>
      <c r="B13" s="14" t="n">
        <f aca="false">'Inputs and Result'!$B$10^A13/FACT(A13)</f>
        <v>0.0253968253968254</v>
      </c>
    </row>
    <row r="14" customFormat="false" ht="15" hidden="false" customHeight="false" outlineLevel="0" collapsed="false">
      <c r="A14" s="4" t="n">
        <v>8</v>
      </c>
      <c r="B14" s="14" t="n">
        <f aca="false">'Inputs and Result'!$B$10^A14/FACT(A14)</f>
        <v>0.00634920634920635</v>
      </c>
    </row>
    <row r="15" customFormat="false" ht="15" hidden="false" customHeight="false" outlineLevel="0" collapsed="false">
      <c r="A15" s="4" t="n">
        <v>9</v>
      </c>
      <c r="B15" s="14" t="n">
        <f aca="false">'Inputs and Result'!$B$10^A15/FACT(A15)</f>
        <v>0.00141093474426808</v>
      </c>
    </row>
    <row r="17" customFormat="false" ht="15" hidden="false" customHeight="false" outlineLevel="0" collapsed="false">
      <c r="A17" s="3" t="s">
        <v>24</v>
      </c>
    </row>
    <row r="18" customFormat="false" ht="42" hidden="false" customHeight="true" outlineLevel="0" collapsed="false">
      <c r="A18" s="13" t="s">
        <v>25</v>
      </c>
      <c r="B18" s="13" t="s">
        <v>26</v>
      </c>
      <c r="C18" s="13" t="s">
        <v>27</v>
      </c>
      <c r="D18" s="13" t="s">
        <v>28</v>
      </c>
      <c r="E18" s="13" t="s">
        <v>29</v>
      </c>
      <c r="F18" s="13" t="s">
        <v>30</v>
      </c>
      <c r="G18" s="13" t="s">
        <v>31</v>
      </c>
      <c r="H18" s="13" t="s">
        <v>32</v>
      </c>
    </row>
    <row r="19" customFormat="false" ht="15" hidden="false" customHeight="false" outlineLevel="0" collapsed="false">
      <c r="A19" s="15" t="n">
        <v>3</v>
      </c>
      <c r="B19" s="16" t="n">
        <f aca="false">'Inputs and Result'!$B$10/A19</f>
        <v>0.666666666666667</v>
      </c>
      <c r="C19" s="17" t="n">
        <f aca="false">'Inputs and Result'!$B$10^A19/FACT(A19)*A19/(A19-'Inputs and Result'!$B$10)</f>
        <v>4</v>
      </c>
      <c r="D19" s="17" t="n">
        <f aca="false">SUM($B$6:INDEX($B$6:$B$15,A19))</f>
        <v>5</v>
      </c>
      <c r="E19" s="16" t="n">
        <f aca="false">C19/(D19+C19)</f>
        <v>0.444444444444444</v>
      </c>
      <c r="F19" s="18" t="n">
        <f aca="false">E19/(A19*'Inputs and Result'!$B$9-'Inputs and Result'!$B$5)*60</f>
        <v>5.33333333333333</v>
      </c>
      <c r="G19" s="17" t="n">
        <f aca="false">'Inputs and Result'!$B$5*F19/60</f>
        <v>0.888888888888889</v>
      </c>
      <c r="H19" s="19" t="n">
        <f aca="false">E19*EXP(-(A19*'Inputs and Result'!$B$9-'Inputs and Result'!$B$5)*15/60)</f>
        <v>0.127335465271196</v>
      </c>
    </row>
    <row r="20" customFormat="false" ht="15" hidden="false" customHeight="false" outlineLevel="0" collapsed="false">
      <c r="A20" s="15" t="n">
        <v>4</v>
      </c>
      <c r="B20" s="16" t="n">
        <f aca="false">'Inputs and Result'!$B$10/A20</f>
        <v>0.5</v>
      </c>
      <c r="C20" s="17" t="n">
        <f aca="false">'Inputs and Result'!$B$10^A20/FACT(A20)*A20/(A20-'Inputs and Result'!$B$10)</f>
        <v>1.33333333333333</v>
      </c>
      <c r="D20" s="17" t="n">
        <f aca="false">SUM($B$6:INDEX($B$6:$B$15,A20))</f>
        <v>6.33333333333333</v>
      </c>
      <c r="E20" s="16" t="n">
        <f aca="false">C20/(D20+C20)</f>
        <v>0.173913043478261</v>
      </c>
      <c r="F20" s="18" t="n">
        <f aca="false">E20/(A20*'Inputs and Result'!$B$9-'Inputs and Result'!$B$5)*60</f>
        <v>1.04347826086957</v>
      </c>
      <c r="G20" s="17" t="n">
        <f aca="false">'Inputs and Result'!$B$5*F20/60</f>
        <v>0.173913043478261</v>
      </c>
      <c r="H20" s="19" t="n">
        <f aca="false">E20*EXP(-(A20*'Inputs and Result'!$B$9-'Inputs and Result'!$B$5)*15/60)</f>
        <v>0.0142756519345911</v>
      </c>
    </row>
    <row r="21" customFormat="false" ht="15" hidden="false" customHeight="false" outlineLevel="0" collapsed="false">
      <c r="A21" s="15" t="n">
        <v>5</v>
      </c>
      <c r="B21" s="16" t="n">
        <f aca="false">'Inputs and Result'!$B$10/A21</f>
        <v>0.4</v>
      </c>
      <c r="C21" s="17" t="n">
        <f aca="false">'Inputs and Result'!$B$10^A21/FACT(A21)*A21/(A21-'Inputs and Result'!$B$10)</f>
        <v>0.444444444444444</v>
      </c>
      <c r="D21" s="17" t="n">
        <f aca="false">SUM($B$6:INDEX($B$6:$B$15,A21))</f>
        <v>7</v>
      </c>
      <c r="E21" s="16" t="n">
        <f aca="false">C21/(D21+C21)</f>
        <v>0.0597014925373134</v>
      </c>
      <c r="F21" s="18" t="n">
        <f aca="false">E21/(A21*'Inputs and Result'!$B$9-'Inputs and Result'!$B$5)*60</f>
        <v>0.238805970149254</v>
      </c>
      <c r="G21" s="17" t="n">
        <f aca="false">'Inputs and Result'!$B$5*F21/60</f>
        <v>0.0398009950248756</v>
      </c>
      <c r="H21" s="19" t="n">
        <f aca="false">E21*EXP(-(A21*'Inputs and Result'!$B$9-'Inputs and Result'!$B$5)*15/60)</f>
        <v>0.00140404452871696</v>
      </c>
    </row>
    <row r="22" customFormat="false" ht="15" hidden="false" customHeight="false" outlineLevel="0" collapsed="false">
      <c r="A22" s="15" t="n">
        <v>6</v>
      </c>
      <c r="B22" s="16" t="n">
        <f aca="false">'Inputs and Result'!$B$10/A22</f>
        <v>0.333333333333333</v>
      </c>
      <c r="C22" s="17" t="n">
        <f aca="false">'Inputs and Result'!$B$10^A22/FACT(A22)*A22/(A22-'Inputs and Result'!$B$10)</f>
        <v>0.133333333333333</v>
      </c>
      <c r="D22" s="17" t="n">
        <f aca="false">SUM($B$6:INDEX($B$6:$B$15,A22))</f>
        <v>7.26666666666667</v>
      </c>
      <c r="E22" s="16" t="n">
        <f aca="false">C22/(D22+C22)</f>
        <v>0.018018018018018</v>
      </c>
      <c r="F22" s="18" t="n">
        <f aca="false">E22/(A22*'Inputs and Result'!$B$9-'Inputs and Result'!$B$5)*60</f>
        <v>0.0540540540540541</v>
      </c>
      <c r="G22" s="17" t="n">
        <f aca="false">'Inputs and Result'!$B$5*F22/60</f>
        <v>0.00900900900900901</v>
      </c>
      <c r="H22" s="19" t="n">
        <f aca="false">E22*EXP(-(A22*'Inputs and Result'!$B$9-'Inputs and Result'!$B$5)*15/60)</f>
        <v>0.000121404450433972</v>
      </c>
    </row>
    <row r="23" customFormat="false" ht="15" hidden="false" customHeight="false" outlineLevel="0" collapsed="false">
      <c r="A23" s="15" t="n">
        <v>7</v>
      </c>
      <c r="B23" s="16" t="n">
        <f aca="false">'Inputs and Result'!$B$10/A23</f>
        <v>0.285714285714286</v>
      </c>
      <c r="C23" s="17" t="n">
        <f aca="false">'Inputs and Result'!$B$10^A23/FACT(A23)*A23/(A23-'Inputs and Result'!$B$10)</f>
        <v>0.0355555555555556</v>
      </c>
      <c r="D23" s="17" t="n">
        <f aca="false">SUM($B$6:INDEX($B$6:$B$15,A23))</f>
        <v>7.35555555555556</v>
      </c>
      <c r="E23" s="16" t="n">
        <f aca="false">C23/(D23+C23)</f>
        <v>0.00481058328322309</v>
      </c>
      <c r="F23" s="18" t="n">
        <f aca="false">E23/(A23*'Inputs and Result'!$B$9-'Inputs and Result'!$B$5)*60</f>
        <v>0.0115453998797354</v>
      </c>
      <c r="G23" s="17" t="n">
        <f aca="false">'Inputs and Result'!$B$5*F23/60</f>
        <v>0.00192423331328924</v>
      </c>
      <c r="H23" s="19" t="n">
        <f aca="false">E23*EXP(-(A23*'Inputs and Result'!$B$9-'Inputs and Result'!$B$5)*15/60)</f>
        <v>9.28661039676589E-006</v>
      </c>
    </row>
    <row r="24" customFormat="false" ht="15" hidden="false" customHeight="false" outlineLevel="0" collapsed="false">
      <c r="A24" s="15" t="n">
        <v>8</v>
      </c>
      <c r="B24" s="16" t="n">
        <f aca="false">'Inputs and Result'!$B$10/A24</f>
        <v>0.25</v>
      </c>
      <c r="C24" s="17" t="n">
        <f aca="false">'Inputs and Result'!$B$10^A24/FACT(A24)*A24/(A24-'Inputs and Result'!$B$10)</f>
        <v>0.00846560846560847</v>
      </c>
      <c r="D24" s="17" t="n">
        <f aca="false">SUM($B$6:INDEX($B$6:$B$15,A24))</f>
        <v>7.38095238095238</v>
      </c>
      <c r="E24" s="16" t="n">
        <f aca="false">C24/(D24+C24)</f>
        <v>0.0011456394099957</v>
      </c>
      <c r="F24" s="18" t="n">
        <f aca="false">E24/(A24*'Inputs and Result'!$B$9-'Inputs and Result'!$B$5)*60</f>
        <v>0.00229127881999141</v>
      </c>
      <c r="G24" s="17" t="n">
        <f aca="false">'Inputs and Result'!$B$5*F24/60</f>
        <v>0.000381879803331901</v>
      </c>
      <c r="H24" s="19" t="n">
        <f aca="false">E24*EXP(-(A24*'Inputs and Result'!$B$9-'Inputs and Result'!$B$5)*15/60)</f>
        <v>6.3363525149401E-007</v>
      </c>
    </row>
    <row r="26" customFormat="false" ht="15" hidden="false" customHeight="false" outlineLevel="0" collapsed="false">
      <c r="A26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42" hidden="false" customHeight="true" outlineLevel="0" collapsed="false">
      <c r="A4" s="13" t="s">
        <v>36</v>
      </c>
      <c r="B4" s="13" t="s">
        <v>30</v>
      </c>
      <c r="C4" s="13" t="s">
        <v>37</v>
      </c>
      <c r="D4" s="13" t="s">
        <v>31</v>
      </c>
      <c r="E4" s="13" t="s">
        <v>38</v>
      </c>
      <c r="F4" s="13" t="s">
        <v>39</v>
      </c>
      <c r="G4" s="13" t="s">
        <v>32</v>
      </c>
    </row>
    <row r="5" customFormat="false" ht="15" hidden="false" customHeight="false" outlineLevel="0" collapsed="false">
      <c r="A5" s="20" t="n">
        <v>3</v>
      </c>
      <c r="B5" s="21" t="n">
        <v>5.27532</v>
      </c>
      <c r="C5" s="21" t="n">
        <v>0.121633</v>
      </c>
      <c r="D5" s="22" t="n">
        <v>0.881025</v>
      </c>
      <c r="E5" s="23" t="n">
        <v>0.666886</v>
      </c>
      <c r="F5" s="23" t="n">
        <v>0.445622</v>
      </c>
      <c r="G5" s="24" t="n">
        <v>0.126221</v>
      </c>
    </row>
    <row r="6" customFormat="false" ht="15" hidden="false" customHeight="false" outlineLevel="0" collapsed="false">
      <c r="A6" s="20" t="n">
        <v>4</v>
      </c>
      <c r="B6" s="21" t="n">
        <v>1.04486</v>
      </c>
      <c r="C6" s="21" t="n">
        <v>0.0318839</v>
      </c>
      <c r="D6" s="22" t="n">
        <v>0.174046</v>
      </c>
      <c r="E6" s="23" t="n">
        <v>0.499163</v>
      </c>
      <c r="F6" s="23" t="n">
        <v>0.172725</v>
      </c>
      <c r="G6" s="24" t="n">
        <v>0.0144799</v>
      </c>
    </row>
    <row r="7" customFormat="false" ht="15" hidden="false" customHeight="false" outlineLevel="0" collapsed="false">
      <c r="A7" s="20" t="n">
        <v>5</v>
      </c>
      <c r="B7" s="21" t="n">
        <v>0.23938</v>
      </c>
      <c r="C7" s="21" t="n">
        <v>0.0107782</v>
      </c>
      <c r="D7" s="22" t="n">
        <v>0.0396036</v>
      </c>
      <c r="E7" s="23" t="n">
        <v>0.399618</v>
      </c>
      <c r="F7" s="23" t="n">
        <v>0.0594698</v>
      </c>
      <c r="G7" s="24" t="n">
        <v>0.0014767</v>
      </c>
    </row>
    <row r="8" customFormat="false" ht="15" hidden="false" customHeight="false" outlineLevel="0" collapsed="false">
      <c r="A8" s="20" t="n">
        <v>6</v>
      </c>
      <c r="B8" s="21" t="n">
        <v>0.0557653</v>
      </c>
      <c r="C8" s="21" t="n">
        <v>0.00467622</v>
      </c>
      <c r="D8" s="22" t="n">
        <v>0.00961906</v>
      </c>
      <c r="E8" s="23" t="n">
        <v>0.333754</v>
      </c>
      <c r="F8" s="23" t="n">
        <v>0.0180956</v>
      </c>
      <c r="G8" s="24" t="n">
        <v>0.000147265</v>
      </c>
    </row>
    <row r="9" customFormat="false" ht="15" hidden="false" customHeight="false" outlineLevel="0" collapsed="false">
      <c r="A9" s="20" t="n">
        <v>7</v>
      </c>
      <c r="B9" s="21" t="n">
        <v>0.0124728</v>
      </c>
      <c r="C9" s="21" t="n">
        <v>0.00148571</v>
      </c>
      <c r="D9" s="22" t="n">
        <v>0.00205324</v>
      </c>
      <c r="E9" s="23" t="n">
        <v>0.285282</v>
      </c>
      <c r="F9" s="23" t="n">
        <v>0.00510974</v>
      </c>
      <c r="G9" s="24" t="n">
        <v>1.40319E-005</v>
      </c>
    </row>
    <row r="10" customFormat="false" ht="15" hidden="false" customHeight="false" outlineLevel="0" collapsed="false">
      <c r="A10" s="20" t="n">
        <v>8</v>
      </c>
      <c r="B10" s="21" t="n">
        <v>0.00269897</v>
      </c>
      <c r="C10" s="21" t="n">
        <v>0.000780603</v>
      </c>
      <c r="D10" s="22" t="n">
        <v>0.000515146</v>
      </c>
      <c r="E10" s="23" t="n">
        <v>0.250921</v>
      </c>
      <c r="F10" s="23" t="n">
        <v>0.00123015</v>
      </c>
      <c r="G10" s="24" t="n">
        <v>1.56846E-005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4"/>
    <col collapsed="false" customWidth="true" hidden="false" outlineLevel="0" max="10" min="10" style="0" width="20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42" hidden="false" customHeight="true" outlineLevel="0" collapsed="false">
      <c r="A4" s="13" t="s">
        <v>36</v>
      </c>
      <c r="B4" s="13" t="s">
        <v>42</v>
      </c>
      <c r="C4" s="13" t="s">
        <v>43</v>
      </c>
      <c r="D4" s="13" t="s">
        <v>44</v>
      </c>
      <c r="E4" s="13" t="s">
        <v>37</v>
      </c>
      <c r="F4" s="13" t="s">
        <v>45</v>
      </c>
      <c r="G4" s="13" t="s">
        <v>46</v>
      </c>
      <c r="H4" s="13" t="s">
        <v>47</v>
      </c>
      <c r="I4" s="13" t="s">
        <v>48</v>
      </c>
      <c r="J4" s="13" t="s">
        <v>49</v>
      </c>
      <c r="K4" s="13" t="s">
        <v>50</v>
      </c>
    </row>
    <row r="5" customFormat="false" ht="15" hidden="false" customHeight="false" outlineLevel="0" collapsed="false">
      <c r="A5" s="25" t="n">
        <f aca="false">Simulation!A5</f>
        <v>3</v>
      </c>
      <c r="B5" s="18" t="n">
        <f aca="false">Simulation!B5</f>
        <v>5.27532</v>
      </c>
      <c r="C5" s="18" t="n">
        <f aca="false">Theory!F19</f>
        <v>5.33333333333333</v>
      </c>
      <c r="D5" s="18" t="n">
        <f aca="false">B5-C5</f>
        <v>-0.0580133333333333</v>
      </c>
      <c r="E5" s="18" t="n">
        <f aca="false">Simulation!C5</f>
        <v>0.121633</v>
      </c>
      <c r="F5" s="26" t="n">
        <f aca="false">IF(ABS(D5)&lt;=E5,1,0)</f>
        <v>1</v>
      </c>
      <c r="G5" s="26" t="str">
        <f aca="false">IF(F5=1,"Yes","No")</f>
        <v>Yes</v>
      </c>
      <c r="H5" s="16" t="n">
        <f aca="false">Simulation!E5</f>
        <v>0.666886</v>
      </c>
      <c r="I5" s="16" t="n">
        <f aca="false">Theory!B19</f>
        <v>0.666666666666667</v>
      </c>
      <c r="J5" s="17" t="n">
        <f aca="false">'Inputs and Result'!$B$5*B5/60-Simulation!D5</f>
        <v>-0.00180499999999995</v>
      </c>
      <c r="K5" s="26" t="n">
        <f aca="false">IF(B5&lt;='Inputs and Result'!$B$7,1,0)</f>
        <v>0</v>
      </c>
    </row>
    <row r="6" customFormat="false" ht="15" hidden="false" customHeight="false" outlineLevel="0" collapsed="false">
      <c r="A6" s="25" t="n">
        <f aca="false">Simulation!A6</f>
        <v>4</v>
      </c>
      <c r="B6" s="18" t="n">
        <f aca="false">Simulation!B6</f>
        <v>1.04486</v>
      </c>
      <c r="C6" s="18" t="n">
        <f aca="false">Theory!F20</f>
        <v>1.04347826086957</v>
      </c>
      <c r="D6" s="18" t="n">
        <f aca="false">B6-C6</f>
        <v>0.00138173913043471</v>
      </c>
      <c r="E6" s="18" t="n">
        <f aca="false">Simulation!C6</f>
        <v>0.0318839</v>
      </c>
      <c r="F6" s="26" t="n">
        <f aca="false">IF(ABS(D6)&lt;=E6,1,0)</f>
        <v>1</v>
      </c>
      <c r="G6" s="26" t="str">
        <f aca="false">IF(F6=1,"Yes","No")</f>
        <v>Yes</v>
      </c>
      <c r="H6" s="16" t="n">
        <f aca="false">Simulation!E6</f>
        <v>0.499163</v>
      </c>
      <c r="I6" s="16" t="n">
        <f aca="false">Theory!B20</f>
        <v>0.5</v>
      </c>
      <c r="J6" s="17" t="n">
        <f aca="false">'Inputs and Result'!$B$5*B6/60-Simulation!D6</f>
        <v>9.73333333333104E-005</v>
      </c>
      <c r="K6" s="26" t="n">
        <f aca="false">IF(B6&lt;='Inputs and Result'!$B$7,1,0)</f>
        <v>1</v>
      </c>
    </row>
    <row r="7" customFormat="false" ht="15" hidden="false" customHeight="false" outlineLevel="0" collapsed="false">
      <c r="A7" s="25" t="n">
        <f aca="false">Simulation!A7</f>
        <v>5</v>
      </c>
      <c r="B7" s="18" t="n">
        <f aca="false">Simulation!B7</f>
        <v>0.23938</v>
      </c>
      <c r="C7" s="18" t="n">
        <f aca="false">Theory!F21</f>
        <v>0.238805970149254</v>
      </c>
      <c r="D7" s="18" t="n">
        <f aca="false">B7-C7</f>
        <v>0.000574029850746283</v>
      </c>
      <c r="E7" s="18" t="n">
        <f aca="false">Simulation!C7</f>
        <v>0.0107782</v>
      </c>
      <c r="F7" s="26" t="n">
        <f aca="false">IF(ABS(D7)&lt;=E7,1,0)</f>
        <v>1</v>
      </c>
      <c r="G7" s="26" t="str">
        <f aca="false">IF(F7=1,"Yes","No")</f>
        <v>Yes</v>
      </c>
      <c r="H7" s="16" t="n">
        <f aca="false">Simulation!E7</f>
        <v>0.399618</v>
      </c>
      <c r="I7" s="16" t="n">
        <f aca="false">Theory!B21</f>
        <v>0.4</v>
      </c>
      <c r="J7" s="17" t="n">
        <f aca="false">'Inputs and Result'!$B$5*B7/60-Simulation!D7</f>
        <v>0.000293066666666668</v>
      </c>
      <c r="K7" s="26" t="n">
        <f aca="false">IF(B7&lt;='Inputs and Result'!$B$7,1,0)</f>
        <v>1</v>
      </c>
    </row>
    <row r="8" customFormat="false" ht="15" hidden="false" customHeight="false" outlineLevel="0" collapsed="false">
      <c r="A8" s="25" t="n">
        <f aca="false">Simulation!A8</f>
        <v>6</v>
      </c>
      <c r="B8" s="18" t="n">
        <f aca="false">Simulation!B8</f>
        <v>0.0557653</v>
      </c>
      <c r="C8" s="18" t="n">
        <f aca="false">Theory!F22</f>
        <v>0.0540540540540541</v>
      </c>
      <c r="D8" s="18" t="n">
        <f aca="false">B8-C8</f>
        <v>0.00171124594594594</v>
      </c>
      <c r="E8" s="18" t="n">
        <f aca="false">Simulation!C8</f>
        <v>0.00467622</v>
      </c>
      <c r="F8" s="26" t="n">
        <f aca="false">IF(ABS(D8)&lt;=E8,1,0)</f>
        <v>1</v>
      </c>
      <c r="G8" s="26" t="str">
        <f aca="false">IF(F8=1,"Yes","No")</f>
        <v>Yes</v>
      </c>
      <c r="H8" s="16" t="n">
        <f aca="false">Simulation!E8</f>
        <v>0.333754</v>
      </c>
      <c r="I8" s="16" t="n">
        <f aca="false">Theory!B22</f>
        <v>0.333333333333333</v>
      </c>
      <c r="J8" s="17" t="n">
        <f aca="false">'Inputs and Result'!$B$5*B8/60-Simulation!D8</f>
        <v>-0.000324843333333335</v>
      </c>
      <c r="K8" s="26" t="n">
        <f aca="false">IF(B8&lt;='Inputs and Result'!$B$7,1,0)</f>
        <v>1</v>
      </c>
    </row>
    <row r="9" customFormat="false" ht="15" hidden="false" customHeight="false" outlineLevel="0" collapsed="false">
      <c r="A9" s="25" t="n">
        <f aca="false">Simulation!A9</f>
        <v>7</v>
      </c>
      <c r="B9" s="18" t="n">
        <f aca="false">Simulation!B9</f>
        <v>0.0124728</v>
      </c>
      <c r="C9" s="18" t="n">
        <f aca="false">Theory!F23</f>
        <v>0.0115453998797354</v>
      </c>
      <c r="D9" s="18" t="n">
        <f aca="false">B9-C9</f>
        <v>0.000927400120264581</v>
      </c>
      <c r="E9" s="18" t="n">
        <f aca="false">Simulation!C9</f>
        <v>0.00148571</v>
      </c>
      <c r="F9" s="26" t="n">
        <f aca="false">IF(ABS(D9)&lt;=E9,1,0)</f>
        <v>1</v>
      </c>
      <c r="G9" s="26" t="str">
        <f aca="false">IF(F9=1,"Yes","No")</f>
        <v>Yes</v>
      </c>
      <c r="H9" s="16" t="n">
        <f aca="false">Simulation!E9</f>
        <v>0.285282</v>
      </c>
      <c r="I9" s="16" t="n">
        <f aca="false">Theory!B23</f>
        <v>0.285714285714286</v>
      </c>
      <c r="J9" s="17" t="n">
        <f aca="false">'Inputs and Result'!$B$5*B9/60-Simulation!D9</f>
        <v>2.556E-005</v>
      </c>
      <c r="K9" s="26" t="n">
        <f aca="false">IF(B9&lt;='Inputs and Result'!$B$7,1,0)</f>
        <v>1</v>
      </c>
    </row>
    <row r="10" customFormat="false" ht="15" hidden="false" customHeight="false" outlineLevel="0" collapsed="false">
      <c r="A10" s="25" t="n">
        <f aca="false">Simulation!A10</f>
        <v>8</v>
      </c>
      <c r="B10" s="18" t="n">
        <f aca="false">Simulation!B10</f>
        <v>0.00269897</v>
      </c>
      <c r="C10" s="18" t="n">
        <f aca="false">Theory!F24</f>
        <v>0.00229127881999141</v>
      </c>
      <c r="D10" s="18" t="n">
        <f aca="false">B10-C10</f>
        <v>0.000407691180008592</v>
      </c>
      <c r="E10" s="18" t="n">
        <f aca="false">Simulation!C10</f>
        <v>0.000780603</v>
      </c>
      <c r="F10" s="26" t="n">
        <f aca="false">IF(ABS(D10)&lt;=E10,1,0)</f>
        <v>1</v>
      </c>
      <c r="G10" s="26" t="str">
        <f aca="false">IF(F10=1,"Yes","No")</f>
        <v>Yes</v>
      </c>
      <c r="H10" s="16" t="n">
        <f aca="false">Simulation!E10</f>
        <v>0.250921</v>
      </c>
      <c r="I10" s="16" t="n">
        <f aca="false">Theory!B24</f>
        <v>0.25</v>
      </c>
      <c r="J10" s="17" t="n">
        <f aca="false">'Inputs and Result'!$B$5*B10/60-Simulation!D10</f>
        <v>-6.53176666666666E-005</v>
      </c>
      <c r="K10" s="26" t="n">
        <f aca="false">IF(B10&lt;='Inputs and Result'!$B$7,1,0)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2026-10-26T12:22:08Z</dcterms:created>
  <dc:creator>openpyxl</dc:creator>
  <dc:description/>
  <dc:language>en-US</dc:language>
  <cp:lastModifiedBy/>
  <dcterms:modified xsi:type="dcterms:W3CDTF">2026-10-26T05:22:11Z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